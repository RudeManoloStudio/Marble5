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Manu\Marble5\Assets\ScriptableObjects\"/>
    </mc:Choice>
  </mc:AlternateContent>
  <xr:revisionPtr revIDLastSave="0" documentId="13_ncr:1_{4DDA294A-A9D9-45B5-825A-A6F6B2D86415}" xr6:coauthVersionLast="47" xr6:coauthVersionMax="47" xr10:uidLastSave="{00000000-0000-0000-0000-000000000000}"/>
  <bookViews>
    <workbookView xWindow="-110" yWindow="-110" windowWidth="25820" windowHeight="15500" xr2:uid="{FCC4B52F-2733-4863-A5E0-8FC58FD9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I12" i="1"/>
  <c r="I13" i="1"/>
  <c r="I14" i="1"/>
  <c r="I15" i="1"/>
  <c r="I16" i="1"/>
  <c r="I17" i="1"/>
  <c r="I18" i="1"/>
  <c r="I19" i="1"/>
  <c r="I20" i="1"/>
  <c r="H20" i="1" s="1"/>
  <c r="I21" i="1"/>
  <c r="H21" i="1" s="1"/>
  <c r="I22" i="1"/>
  <c r="H22" i="1" s="1"/>
  <c r="I23" i="1"/>
  <c r="I24" i="1"/>
  <c r="I25" i="1"/>
  <c r="H25" i="1" s="1"/>
  <c r="I26" i="1"/>
  <c r="I27" i="1"/>
  <c r="H27" i="1" s="1"/>
  <c r="I28" i="1"/>
  <c r="I29" i="1"/>
  <c r="I30" i="1"/>
  <c r="I31" i="1"/>
  <c r="I32" i="1"/>
  <c r="I33" i="1"/>
  <c r="I11" i="1"/>
  <c r="H30" i="1"/>
  <c r="H29" i="1"/>
  <c r="H32" i="1"/>
  <c r="H31" i="1"/>
  <c r="H5" i="1"/>
  <c r="H6" i="1"/>
  <c r="H7" i="1"/>
  <c r="H8" i="1"/>
  <c r="H9" i="1"/>
  <c r="H10" i="1"/>
  <c r="H4" i="1"/>
  <c r="F4" i="1"/>
  <c r="F5" i="1"/>
  <c r="F6" i="1"/>
  <c r="F7" i="1"/>
  <c r="F8" i="1"/>
  <c r="F9" i="1"/>
  <c r="F10" i="1"/>
  <c r="F32" i="1"/>
  <c r="F31" i="1"/>
  <c r="F33" i="1"/>
  <c r="F19" i="1"/>
  <c r="F26" i="1" l="1"/>
  <c r="F27" i="1"/>
  <c r="F28" i="1"/>
  <c r="F23" i="1"/>
  <c r="F24" i="1"/>
  <c r="F22" i="1"/>
  <c r="F17" i="1"/>
  <c r="H26" i="1"/>
  <c r="H28" i="1"/>
  <c r="H23" i="1"/>
  <c r="H24" i="1"/>
  <c r="H17" i="1"/>
  <c r="F25" i="1"/>
  <c r="F20" i="1"/>
  <c r="F21" i="1"/>
  <c r="F29" i="1"/>
  <c r="F30" i="1"/>
  <c r="H33" i="1"/>
  <c r="H18" i="1"/>
  <c r="H19" i="1"/>
  <c r="H15" i="1"/>
  <c r="F18" i="1"/>
  <c r="H13" i="1"/>
  <c r="F15" i="1"/>
  <c r="H14" i="1"/>
  <c r="F16" i="1"/>
  <c r="H12" i="1"/>
  <c r="F13" i="1"/>
  <c r="F14" i="1"/>
  <c r="F12" i="1"/>
  <c r="H11" i="1"/>
  <c r="H16" i="1"/>
  <c r="F11" i="1"/>
</calcChain>
</file>

<file path=xl/sharedStrings.xml><?xml version="1.0" encoding="utf-8"?>
<sst xmlns="http://schemas.openxmlformats.org/spreadsheetml/2006/main" count="68" uniqueCount="68">
  <si>
    <t>Element 0</t>
  </si>
  <si>
    <t>Element 1</t>
  </si>
  <si>
    <t>Element 2</t>
  </si>
  <si>
    <t>Element 3</t>
  </si>
  <si>
    <t>Element 4</t>
  </si>
  <si>
    <t>Element 5</t>
  </si>
  <si>
    <t>Element 6</t>
  </si>
  <si>
    <t>Element 7</t>
  </si>
  <si>
    <t>Element 8</t>
  </si>
  <si>
    <t>Element 9</t>
  </si>
  <si>
    <t>Element 10</t>
  </si>
  <si>
    <t>Element 11</t>
  </si>
  <si>
    <t>Element 12</t>
  </si>
  <si>
    <t>Element 13</t>
  </si>
  <si>
    <t>Element 14</t>
  </si>
  <si>
    <t>SpaceBG_01</t>
  </si>
  <si>
    <t>SpaceBG_02</t>
  </si>
  <si>
    <t>SpaceBG_03</t>
  </si>
  <si>
    <t>SpaceBG_04</t>
  </si>
  <si>
    <t>SpaceBG_05</t>
  </si>
  <si>
    <t>SpaceBG_06</t>
  </si>
  <si>
    <t>SpaceBG_07</t>
  </si>
  <si>
    <t>SpaceBG_08</t>
  </si>
  <si>
    <t>SpaceBG_09</t>
  </si>
  <si>
    <t>SpaceBG_10</t>
  </si>
  <si>
    <t>SpaceBG_11</t>
  </si>
  <si>
    <t>SpaceBG_12</t>
  </si>
  <si>
    <t>SpaceBG_13</t>
  </si>
  <si>
    <t>SpaceBG_14</t>
  </si>
  <si>
    <t>SpaceBG_15</t>
  </si>
  <si>
    <t>BG</t>
  </si>
  <si>
    <t>LVL</t>
  </si>
  <si>
    <t>Handicap</t>
  </si>
  <si>
    <t>Difficulte</t>
  </si>
  <si>
    <t>Star 1</t>
  </si>
  <si>
    <t>Star 2</t>
  </si>
  <si>
    <t>Star 3</t>
  </si>
  <si>
    <t>Progression</t>
  </si>
  <si>
    <t>SpaceBG_16</t>
  </si>
  <si>
    <t>SpaceBG_17</t>
  </si>
  <si>
    <t>SpaceBG_18</t>
  </si>
  <si>
    <t>SpaceBG_19</t>
  </si>
  <si>
    <t>SpaceBG_20</t>
  </si>
  <si>
    <t>SpaceBG_21</t>
  </si>
  <si>
    <t>SpaceBG_22</t>
  </si>
  <si>
    <t>SpaceBG_23</t>
  </si>
  <si>
    <t>SpaceBG_24</t>
  </si>
  <si>
    <t>SpaceBG_25</t>
  </si>
  <si>
    <t>SpaceBG_26</t>
  </si>
  <si>
    <t>Element 15</t>
  </si>
  <si>
    <t>Element 16</t>
  </si>
  <si>
    <t>Element 17</t>
  </si>
  <si>
    <t>Element 18</t>
  </si>
  <si>
    <t>Element 19</t>
  </si>
  <si>
    <t>Element 20</t>
  </si>
  <si>
    <t>Element 21</t>
  </si>
  <si>
    <t>Element 22</t>
  </si>
  <si>
    <t>Element 23</t>
  </si>
  <si>
    <t>Element 24</t>
  </si>
  <si>
    <t>Element 25</t>
  </si>
  <si>
    <t>Element 26</t>
  </si>
  <si>
    <t>Element 27</t>
  </si>
  <si>
    <t>Element 28</t>
  </si>
  <si>
    <t>Element 29</t>
  </si>
  <si>
    <t>SpaceBG_27</t>
  </si>
  <si>
    <t>SpaceBG_28</t>
  </si>
  <si>
    <t>SpaceBG_29</t>
  </si>
  <si>
    <t>SpaceBG_30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</si>
</sst>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73638-A1F7-4F5E-A154-B469F62E12C8}" name="Tableau1" displayName="Tableau1" ref="B3:I33" totalsRowShown="0" headerRowDxfId="3">
  <autoFilter ref="B3:I33" xr:uid="{0C873638-A1F7-4F5E-A154-B469F62E12C8}"/>
  <sortState xmlns:xlrd2="http://schemas.microsoft.com/office/spreadsheetml/2017/richdata2" ref="B4:I33">
    <sortCondition ref="I3:I33"/>
  </sortState>
  <tableColumns count="8">
    <tableColumn id="1" xr3:uid="{F6F76B94-F20C-4FAA-8F8C-825EFEB12CC4}" name="LVL"/>
    <tableColumn id="2" xr3:uid="{83E9CFDE-11AB-4421-BF3C-539FEA4950F2}" name="BG"/>
    <tableColumn id="3" xr3:uid="{CFF445D2-C2A2-47BC-B33B-84BF1C6D8B00}" name="Handicap"/>
    <tableColumn id="4" xr3:uid="{6F285335-3565-4E09-97BD-62F7124CD60F}" name="Difficulte"/>
    <tableColumn id="5" xr3:uid="{7B819317-2628-407A-967E-60790634A851}" name="Star 1" dataDxfId="1">
      <calculatedColumnFormula>ROUND(60-Tableau1[[#This Row],[Progression]]/$F$2,0)</calculatedColumnFormula>
    </tableColumn>
    <tableColumn id="6" xr3:uid="{7F140BCF-AB83-4A28-8C16-CCE4E0CBFDB9}" name="Star 2" dataDxfId="0">
      <calculatedColumnFormula>ROUND(AVERAGE(Tableau1[[#This Row],[Star 1]],Tableau1[[#This Row],[Star 3]]),0)</calculatedColumnFormula>
    </tableColumn>
    <tableColumn id="7" xr3:uid="{017DE0A1-AEDF-41C0-9774-EA424BE59870}" name="Star 3">
      <calculatedColumnFormula>ROUND(100-Tableau1[[#This Row],[Progression]]/$H$2,0)</calculatedColumnFormula>
    </tableColumn>
    <tableColumn id="8" xr3:uid="{C492EF36-1AD0-4EC7-AA3B-0F88A02D6994}" name="Progression" dataDxfId="2">
      <calculatedColumnFormula>D4*2+(6-E4)*2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3136-3146-4EA3-B08F-5FC9620F39B9}">
  <dimension ref="A2:I33"/>
  <sheetViews>
    <sheetView tabSelected="1" workbookViewId="0">
      <selection activeCell="K16" sqref="K16"/>
    </sheetView>
  </sheetViews>
  <sheetFormatPr baseColWidth="10" defaultRowHeight="14.5" x14ac:dyDescent="0.35"/>
  <cols>
    <col min="2" max="9" width="16.26953125" customWidth="1"/>
  </cols>
  <sheetData>
    <row r="2" spans="1:9" x14ac:dyDescent="0.35">
      <c r="F2" s="5">
        <v>2</v>
      </c>
      <c r="G2" s="5">
        <v>1.5</v>
      </c>
      <c r="H2" s="5">
        <v>1</v>
      </c>
    </row>
    <row r="3" spans="1:9" x14ac:dyDescent="0.35">
      <c r="B3" s="1" t="s">
        <v>31</v>
      </c>
      <c r="C3" s="1" t="s">
        <v>30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</row>
    <row r="4" spans="1:9" x14ac:dyDescent="0.35">
      <c r="A4" s="2"/>
      <c r="B4" t="s">
        <v>0</v>
      </c>
      <c r="C4" t="s">
        <v>15</v>
      </c>
      <c r="D4">
        <v>0</v>
      </c>
      <c r="E4">
        <v>0</v>
      </c>
      <c r="F4">
        <f>ROUND(60-Tableau1[[#This Row],[Progression]]/$F$2,0)</f>
        <v>60</v>
      </c>
      <c r="G4">
        <f>ROUND(AVERAGE(Tableau1[[#This Row],[Star 1]],Tableau1[[#This Row],[Star 3]]),0)</f>
        <v>80</v>
      </c>
      <c r="H4">
        <f>ROUND(100-Tableau1[[#This Row],[Progression]]/$H$2,0)</f>
        <v>100</v>
      </c>
      <c r="I4">
        <v>0</v>
      </c>
    </row>
    <row r="5" spans="1:9" x14ac:dyDescent="0.35">
      <c r="A5" s="2"/>
      <c r="B5" t="s">
        <v>1</v>
      </c>
      <c r="C5" t="s">
        <v>16</v>
      </c>
      <c r="D5">
        <v>1</v>
      </c>
      <c r="E5">
        <v>0</v>
      </c>
      <c r="F5">
        <f>ROUND(60-Tableau1[[#This Row],[Progression]]/$F$2,0)</f>
        <v>60</v>
      </c>
      <c r="G5">
        <f>ROUND(AVERAGE(Tableau1[[#This Row],[Star 1]],Tableau1[[#This Row],[Star 3]]),0)</f>
        <v>80</v>
      </c>
      <c r="H5">
        <f>ROUND(100-Tableau1[[#This Row],[Progression]]/$H$2,0)</f>
        <v>99</v>
      </c>
      <c r="I5">
        <v>1</v>
      </c>
    </row>
    <row r="6" spans="1:9" x14ac:dyDescent="0.35">
      <c r="A6" s="2"/>
      <c r="B6" t="s">
        <v>2</v>
      </c>
      <c r="C6" t="s">
        <v>17</v>
      </c>
      <c r="D6">
        <v>2</v>
      </c>
      <c r="E6">
        <v>0</v>
      </c>
      <c r="F6">
        <f>ROUND(60-Tableau1[[#This Row],[Progression]]/$F$2,0)</f>
        <v>59</v>
      </c>
      <c r="G6">
        <f>ROUND(AVERAGE(Tableau1[[#This Row],[Star 1]],Tableau1[[#This Row],[Star 3]]),0)</f>
        <v>79</v>
      </c>
      <c r="H6">
        <f>ROUND(100-Tableau1[[#This Row],[Progression]]/$H$2,0)</f>
        <v>98</v>
      </c>
      <c r="I6">
        <v>2</v>
      </c>
    </row>
    <row r="7" spans="1:9" x14ac:dyDescent="0.35">
      <c r="A7" s="2"/>
      <c r="B7" t="s">
        <v>3</v>
      </c>
      <c r="C7" t="s">
        <v>18</v>
      </c>
      <c r="D7">
        <v>3</v>
      </c>
      <c r="E7">
        <v>0</v>
      </c>
      <c r="F7">
        <f>ROUND(60-Tableau1[[#This Row],[Progression]]/$F$2,0)</f>
        <v>59</v>
      </c>
      <c r="G7">
        <f>ROUND(AVERAGE(Tableau1[[#This Row],[Star 1]],Tableau1[[#This Row],[Star 3]]),0)</f>
        <v>78</v>
      </c>
      <c r="H7">
        <f>ROUND(100-Tableau1[[#This Row],[Progression]]/$H$2,0)</f>
        <v>97</v>
      </c>
      <c r="I7">
        <v>3</v>
      </c>
    </row>
    <row r="8" spans="1:9" x14ac:dyDescent="0.35">
      <c r="A8" s="2"/>
      <c r="B8" t="s">
        <v>4</v>
      </c>
      <c r="C8" t="s">
        <v>19</v>
      </c>
      <c r="D8">
        <v>4</v>
      </c>
      <c r="E8">
        <v>0</v>
      </c>
      <c r="F8">
        <f>ROUND(60-Tableau1[[#This Row],[Progression]]/$F$2,0)</f>
        <v>58</v>
      </c>
      <c r="G8">
        <f>ROUND(AVERAGE(Tableau1[[#This Row],[Star 1]],Tableau1[[#This Row],[Star 3]]),0)</f>
        <v>77</v>
      </c>
      <c r="H8">
        <f>ROUND(100-Tableau1[[#This Row],[Progression]]/$H$2,0)</f>
        <v>96</v>
      </c>
      <c r="I8">
        <v>4</v>
      </c>
    </row>
    <row r="9" spans="1:9" x14ac:dyDescent="0.35">
      <c r="A9" s="2"/>
      <c r="B9" t="s">
        <v>6</v>
      </c>
      <c r="C9" t="s">
        <v>21</v>
      </c>
      <c r="D9">
        <v>5</v>
      </c>
      <c r="E9">
        <v>0</v>
      </c>
      <c r="F9">
        <f>ROUND(60-Tableau1[[#This Row],[Progression]]/$F$2,0)</f>
        <v>58</v>
      </c>
      <c r="G9">
        <f>ROUND(AVERAGE(Tableau1[[#This Row],[Star 1]],Tableau1[[#This Row],[Star 3]]),0)</f>
        <v>77</v>
      </c>
      <c r="H9">
        <f>ROUND(100-Tableau1[[#This Row],[Progression]]/$H$2,0)</f>
        <v>95</v>
      </c>
      <c r="I9">
        <v>5</v>
      </c>
    </row>
    <row r="10" spans="1:9" x14ac:dyDescent="0.35">
      <c r="A10" s="2"/>
      <c r="B10" t="s">
        <v>7</v>
      </c>
      <c r="C10" t="s">
        <v>22</v>
      </c>
      <c r="D10">
        <v>6</v>
      </c>
      <c r="E10">
        <v>0</v>
      </c>
      <c r="F10">
        <f>ROUND(60-Tableau1[[#This Row],[Progression]]/$F$2,0)</f>
        <v>57</v>
      </c>
      <c r="G10">
        <f>ROUND(AVERAGE(Tableau1[[#This Row],[Star 1]],Tableau1[[#This Row],[Star 3]]),0)</f>
        <v>76</v>
      </c>
      <c r="H10">
        <f>ROUND(100-Tableau1[[#This Row],[Progression]]/$H$2,0)</f>
        <v>94</v>
      </c>
      <c r="I10">
        <v>6</v>
      </c>
    </row>
    <row r="11" spans="1:9" x14ac:dyDescent="0.35">
      <c r="A11" s="2"/>
      <c r="B11" t="s">
        <v>5</v>
      </c>
      <c r="C11" t="s">
        <v>20</v>
      </c>
      <c r="D11">
        <v>1</v>
      </c>
      <c r="E11">
        <v>5</v>
      </c>
      <c r="F11">
        <f>ROUND(60-Tableau1[[#This Row],[Progression]]/$F$2,0)</f>
        <v>53</v>
      </c>
      <c r="G11">
        <f>ROUND(AVERAGE(Tableau1[[#This Row],[Star 1]],Tableau1[[#This Row],[Star 3]]),0)</f>
        <v>70</v>
      </c>
      <c r="H11">
        <f>ROUND(100-Tableau1[[#This Row],[Progression]]/$H$2,0)</f>
        <v>86</v>
      </c>
      <c r="I11">
        <f>2*(D11*2+(6-E11)*5)</f>
        <v>14</v>
      </c>
    </row>
    <row r="12" spans="1:9" x14ac:dyDescent="0.35">
      <c r="A12" s="2"/>
      <c r="B12" t="s">
        <v>8</v>
      </c>
      <c r="C12" t="s">
        <v>23</v>
      </c>
      <c r="D12">
        <v>2</v>
      </c>
      <c r="E12">
        <v>5</v>
      </c>
      <c r="F12">
        <f>ROUND(60-Tableau1[[#This Row],[Progression]]/$F$2,0)</f>
        <v>51</v>
      </c>
      <c r="G12">
        <f>ROUND(AVERAGE(Tableau1[[#This Row],[Star 1]],Tableau1[[#This Row],[Star 3]]),0)</f>
        <v>67</v>
      </c>
      <c r="H12">
        <f>ROUND(100-Tableau1[[#This Row],[Progression]]/$H$2,0)</f>
        <v>82</v>
      </c>
      <c r="I12">
        <f t="shared" ref="I12:I33" si="0">2*(D12*2+(6-E12)*5)</f>
        <v>18</v>
      </c>
    </row>
    <row r="13" spans="1:9" x14ac:dyDescent="0.35">
      <c r="A13" s="2"/>
      <c r="B13" t="s">
        <v>10</v>
      </c>
      <c r="C13" t="s">
        <v>25</v>
      </c>
      <c r="D13">
        <v>3</v>
      </c>
      <c r="E13">
        <v>5</v>
      </c>
      <c r="F13">
        <f>ROUND(60-Tableau1[[#This Row],[Progression]]/$F$2,0)</f>
        <v>49</v>
      </c>
      <c r="G13">
        <f>ROUND(AVERAGE(Tableau1[[#This Row],[Star 1]],Tableau1[[#This Row],[Star 3]]),0)</f>
        <v>64</v>
      </c>
      <c r="H13">
        <f>ROUND(100-Tableau1[[#This Row],[Progression]]/$H$2,0)</f>
        <v>78</v>
      </c>
      <c r="I13">
        <f t="shared" si="0"/>
        <v>22</v>
      </c>
    </row>
    <row r="14" spans="1:9" x14ac:dyDescent="0.35">
      <c r="A14" s="3"/>
      <c r="B14" t="s">
        <v>9</v>
      </c>
      <c r="C14" t="s">
        <v>24</v>
      </c>
      <c r="D14">
        <v>1</v>
      </c>
      <c r="E14">
        <v>4</v>
      </c>
      <c r="F14">
        <f>ROUND(60-Tableau1[[#This Row],[Progression]]/$F$2,0)</f>
        <v>48</v>
      </c>
      <c r="G14">
        <f>ROUND(AVERAGE(Tableau1[[#This Row],[Star 1]],Tableau1[[#This Row],[Star 3]]),0)</f>
        <v>62</v>
      </c>
      <c r="H14">
        <f>ROUND(100-Tableau1[[#This Row],[Progression]]/$H$2,0)</f>
        <v>76</v>
      </c>
      <c r="I14">
        <f t="shared" si="0"/>
        <v>24</v>
      </c>
    </row>
    <row r="15" spans="1:9" x14ac:dyDescent="0.35">
      <c r="A15" s="3"/>
      <c r="B15" t="s">
        <v>13</v>
      </c>
      <c r="C15" t="s">
        <v>27</v>
      </c>
      <c r="D15">
        <v>4</v>
      </c>
      <c r="E15">
        <v>5</v>
      </c>
      <c r="F15">
        <f>ROUND(60-Tableau1[[#This Row],[Progression]]/$F$2,0)</f>
        <v>47</v>
      </c>
      <c r="G15">
        <f>ROUND(AVERAGE(Tableau1[[#This Row],[Star 1]],Tableau1[[#This Row],[Star 3]]),0)</f>
        <v>61</v>
      </c>
      <c r="H15">
        <f>ROUND(100-Tableau1[[#This Row],[Progression]]/$H$2,0)</f>
        <v>74</v>
      </c>
      <c r="I15">
        <f t="shared" si="0"/>
        <v>26</v>
      </c>
    </row>
    <row r="16" spans="1:9" x14ac:dyDescent="0.35">
      <c r="A16" s="3"/>
      <c r="B16" t="s">
        <v>11</v>
      </c>
      <c r="C16" t="s">
        <v>26</v>
      </c>
      <c r="D16">
        <v>2</v>
      </c>
      <c r="E16">
        <v>4</v>
      </c>
      <c r="F16">
        <f>ROUND(60-Tableau1[[#This Row],[Progression]]/$F$2,0)</f>
        <v>46</v>
      </c>
      <c r="G16">
        <f>ROUND(AVERAGE(Tableau1[[#This Row],[Star 1]],Tableau1[[#This Row],[Star 3]]),0)</f>
        <v>59</v>
      </c>
      <c r="H16">
        <f>ROUND(100-Tableau1[[#This Row],[Progression]]/$H$2,0)</f>
        <v>72</v>
      </c>
      <c r="I16">
        <f t="shared" si="0"/>
        <v>28</v>
      </c>
    </row>
    <row r="17" spans="1:9" x14ac:dyDescent="0.35">
      <c r="A17" s="3"/>
      <c r="B17" t="s">
        <v>51</v>
      </c>
      <c r="C17" t="s">
        <v>38</v>
      </c>
      <c r="D17">
        <v>5</v>
      </c>
      <c r="E17">
        <v>5</v>
      </c>
      <c r="F17">
        <f>ROUND(60-Tableau1[[#This Row],[Progression]]/$F$2,0)</f>
        <v>45</v>
      </c>
      <c r="G17">
        <f>ROUND(AVERAGE(Tableau1[[#This Row],[Star 1]],Tableau1[[#This Row],[Star 3]]),0)</f>
        <v>58</v>
      </c>
      <c r="H17">
        <f>ROUND(100-Tableau1[[#This Row],[Progression]]/$H$2,0)</f>
        <v>70</v>
      </c>
      <c r="I17">
        <f t="shared" si="0"/>
        <v>30</v>
      </c>
    </row>
    <row r="18" spans="1:9" x14ac:dyDescent="0.35">
      <c r="A18" s="3"/>
      <c r="B18" t="s">
        <v>14</v>
      </c>
      <c r="C18" t="s">
        <v>29</v>
      </c>
      <c r="D18">
        <v>3</v>
      </c>
      <c r="E18">
        <v>4</v>
      </c>
      <c r="F18">
        <f>ROUND(60-Tableau1[[#This Row],[Progression]]/$F$2,0)</f>
        <v>44</v>
      </c>
      <c r="G18">
        <f>ROUND(AVERAGE(Tableau1[[#This Row],[Star 1]],Tableau1[[#This Row],[Star 3]]),0)</f>
        <v>56</v>
      </c>
      <c r="H18">
        <f>ROUND(100-Tableau1[[#This Row],[Progression]]/$H$2,0)</f>
        <v>68</v>
      </c>
      <c r="I18">
        <f t="shared" si="0"/>
        <v>32</v>
      </c>
    </row>
    <row r="19" spans="1:9" x14ac:dyDescent="0.35">
      <c r="A19" s="3"/>
      <c r="B19" t="s">
        <v>12</v>
      </c>
      <c r="C19" t="s">
        <v>28</v>
      </c>
      <c r="D19">
        <v>1</v>
      </c>
      <c r="E19">
        <v>3</v>
      </c>
      <c r="F19">
        <f>ROUND(60-Tableau1[[#This Row],[Progression]]/$F$2,0)</f>
        <v>43</v>
      </c>
      <c r="G19">
        <f>ROUND(AVERAGE(Tableau1[[#This Row],[Star 1]],Tableau1[[#This Row],[Star 3]]),0)</f>
        <v>55</v>
      </c>
      <c r="H19">
        <f>ROUND(100-Tableau1[[#This Row],[Progression]]/$H$2,0)</f>
        <v>66</v>
      </c>
      <c r="I19">
        <f t="shared" si="0"/>
        <v>34</v>
      </c>
    </row>
    <row r="20" spans="1:9" x14ac:dyDescent="0.35">
      <c r="A20" s="3"/>
      <c r="B20" t="s">
        <v>55</v>
      </c>
      <c r="C20" t="s">
        <v>41</v>
      </c>
      <c r="D20">
        <v>6</v>
      </c>
      <c r="E20">
        <v>5</v>
      </c>
      <c r="F20">
        <f>ROUND(60-Tableau1[[#This Row],[Progression]]/$F$2,0)</f>
        <v>43</v>
      </c>
      <c r="G20">
        <f>ROUND(AVERAGE(Tableau1[[#This Row],[Star 1]],Tableau1[[#This Row],[Star 3]]),0)</f>
        <v>55</v>
      </c>
      <c r="H20">
        <f>ROUND(100-Tableau1[[#This Row],[Progression]]/$H$2,0)</f>
        <v>66</v>
      </c>
      <c r="I20">
        <f t="shared" si="0"/>
        <v>34</v>
      </c>
    </row>
    <row r="21" spans="1:9" x14ac:dyDescent="0.35">
      <c r="A21" s="3"/>
      <c r="B21" t="s">
        <v>52</v>
      </c>
      <c r="C21" t="s">
        <v>40</v>
      </c>
      <c r="D21">
        <v>4</v>
      </c>
      <c r="E21">
        <v>4</v>
      </c>
      <c r="F21">
        <f>ROUND(60-Tableau1[[#This Row],[Progression]]/$F$2,0)</f>
        <v>42</v>
      </c>
      <c r="G21">
        <f>ROUND(AVERAGE(Tableau1[[#This Row],[Star 1]],Tableau1[[#This Row],[Star 3]]),0)</f>
        <v>53</v>
      </c>
      <c r="H21">
        <f>ROUND(100-Tableau1[[#This Row],[Progression]]/$H$2,0)</f>
        <v>64</v>
      </c>
      <c r="I21">
        <f t="shared" si="0"/>
        <v>36</v>
      </c>
    </row>
    <row r="22" spans="1:9" x14ac:dyDescent="0.35">
      <c r="A22" s="3"/>
      <c r="B22" t="s">
        <v>49</v>
      </c>
      <c r="C22" t="s">
        <v>39</v>
      </c>
      <c r="D22">
        <v>2</v>
      </c>
      <c r="E22">
        <v>3</v>
      </c>
      <c r="F22">
        <f>ROUND(60-Tableau1[[#This Row],[Progression]]/$F$2,0)</f>
        <v>41</v>
      </c>
      <c r="G22">
        <f>ROUND(AVERAGE(Tableau1[[#This Row],[Star 1]],Tableau1[[#This Row],[Star 3]]),0)</f>
        <v>52</v>
      </c>
      <c r="H22">
        <f>ROUND(100-Tableau1[[#This Row],[Progression]]/$H$2,0)</f>
        <v>62</v>
      </c>
      <c r="I22">
        <f t="shared" si="0"/>
        <v>38</v>
      </c>
    </row>
    <row r="23" spans="1:9" x14ac:dyDescent="0.35">
      <c r="A23" s="3"/>
      <c r="B23" t="s">
        <v>56</v>
      </c>
      <c r="C23" t="s">
        <v>44</v>
      </c>
      <c r="D23">
        <v>5</v>
      </c>
      <c r="E23">
        <v>4</v>
      </c>
      <c r="F23">
        <f>ROUND(60-Tableau1[[#This Row],[Progression]]/$F$2,0)</f>
        <v>40</v>
      </c>
      <c r="G23">
        <f>ROUND(AVERAGE(Tableau1[[#This Row],[Star 1]],Tableau1[[#This Row],[Star 3]]),0)</f>
        <v>50</v>
      </c>
      <c r="H23">
        <f>ROUND(100-Tableau1[[#This Row],[Progression]]/$H$2,0)</f>
        <v>60</v>
      </c>
      <c r="I23">
        <f t="shared" si="0"/>
        <v>40</v>
      </c>
    </row>
    <row r="24" spans="1:9" x14ac:dyDescent="0.35">
      <c r="A24" s="3"/>
      <c r="B24" t="s">
        <v>53</v>
      </c>
      <c r="C24" t="s">
        <v>43</v>
      </c>
      <c r="D24">
        <v>3</v>
      </c>
      <c r="E24">
        <v>3</v>
      </c>
      <c r="F24">
        <f>ROUND(60-Tableau1[[#This Row],[Progression]]/$F$2,0)</f>
        <v>39</v>
      </c>
      <c r="G24">
        <f>ROUND(AVERAGE(Tableau1[[#This Row],[Star 1]],Tableau1[[#This Row],[Star 3]]),0)</f>
        <v>49</v>
      </c>
      <c r="H24">
        <f>ROUND(100-Tableau1[[#This Row],[Progression]]/$H$2,0)</f>
        <v>58</v>
      </c>
      <c r="I24">
        <f t="shared" si="0"/>
        <v>42</v>
      </c>
    </row>
    <row r="25" spans="1:9" x14ac:dyDescent="0.35">
      <c r="A25" s="4"/>
      <c r="B25" t="s">
        <v>50</v>
      </c>
      <c r="C25" t="s">
        <v>42</v>
      </c>
      <c r="D25">
        <v>1</v>
      </c>
      <c r="E25">
        <v>2</v>
      </c>
      <c r="F25">
        <f>ROUND(60-Tableau1[[#This Row],[Progression]]/$F$2,0)</f>
        <v>38</v>
      </c>
      <c r="G25">
        <f>ROUND(AVERAGE(Tableau1[[#This Row],[Star 1]],Tableau1[[#This Row],[Star 3]]),0)</f>
        <v>47</v>
      </c>
      <c r="H25">
        <f>ROUND(100-Tableau1[[#This Row],[Progression]]/$H$2,0)</f>
        <v>56</v>
      </c>
      <c r="I25">
        <f t="shared" si="0"/>
        <v>44</v>
      </c>
    </row>
    <row r="26" spans="1:9" x14ac:dyDescent="0.35">
      <c r="A26" s="4"/>
      <c r="B26" t="s">
        <v>59</v>
      </c>
      <c r="C26" t="s">
        <v>47</v>
      </c>
      <c r="D26">
        <v>6</v>
      </c>
      <c r="E26">
        <v>4</v>
      </c>
      <c r="F26">
        <f>ROUND(60-Tableau1[[#This Row],[Progression]]/$F$2,0)</f>
        <v>38</v>
      </c>
      <c r="G26">
        <f>ROUND(AVERAGE(Tableau1[[#This Row],[Star 1]],Tableau1[[#This Row],[Star 3]]),0)</f>
        <v>47</v>
      </c>
      <c r="H26">
        <f>ROUND(100-Tableau1[[#This Row],[Progression]]/$H$2,0)</f>
        <v>56</v>
      </c>
      <c r="I26">
        <f t="shared" si="0"/>
        <v>44</v>
      </c>
    </row>
    <row r="27" spans="1:9" x14ac:dyDescent="0.35">
      <c r="A27" s="4"/>
      <c r="B27" t="s">
        <v>57</v>
      </c>
      <c r="C27" t="s">
        <v>46</v>
      </c>
      <c r="D27">
        <v>4</v>
      </c>
      <c r="E27">
        <v>3</v>
      </c>
      <c r="F27">
        <f>ROUND(60-Tableau1[[#This Row],[Progression]]/$F$2,0)</f>
        <v>37</v>
      </c>
      <c r="G27">
        <f>ROUND(AVERAGE(Tableau1[[#This Row],[Star 1]],Tableau1[[#This Row],[Star 3]]),0)</f>
        <v>46</v>
      </c>
      <c r="H27">
        <f>ROUND(100-Tableau1[[#This Row],[Progression]]/$H$2,0)</f>
        <v>54</v>
      </c>
      <c r="I27">
        <f t="shared" si="0"/>
        <v>46</v>
      </c>
    </row>
    <row r="28" spans="1:9" x14ac:dyDescent="0.35">
      <c r="A28" s="4"/>
      <c r="B28" t="s">
        <v>54</v>
      </c>
      <c r="C28" t="s">
        <v>45</v>
      </c>
      <c r="D28">
        <v>2</v>
      </c>
      <c r="E28">
        <v>2</v>
      </c>
      <c r="F28">
        <f>ROUND(60-Tableau1[[#This Row],[Progression]]/$F$2,0)</f>
        <v>36</v>
      </c>
      <c r="G28">
        <f>ROUND(AVERAGE(Tableau1[[#This Row],[Star 1]],Tableau1[[#This Row],[Star 3]]),0)</f>
        <v>44</v>
      </c>
      <c r="H28">
        <f>ROUND(100-Tableau1[[#This Row],[Progression]]/$H$2,0)</f>
        <v>52</v>
      </c>
      <c r="I28">
        <f t="shared" si="0"/>
        <v>48</v>
      </c>
    </row>
    <row r="29" spans="1:9" x14ac:dyDescent="0.35">
      <c r="A29" s="4"/>
      <c r="B29" t="s">
        <v>60</v>
      </c>
      <c r="C29" t="s">
        <v>64</v>
      </c>
      <c r="D29">
        <v>5</v>
      </c>
      <c r="E29">
        <v>3</v>
      </c>
      <c r="F29">
        <f>ROUND(60-Tableau1[[#This Row],[Progression]]/$F$2,0)</f>
        <v>35</v>
      </c>
      <c r="G29">
        <f>ROUND(AVERAGE(Tableau1[[#This Row],[Star 1]],Tableau1[[#This Row],[Star 3]]),0)</f>
        <v>43</v>
      </c>
      <c r="H29">
        <f>ROUND(100-Tableau1[[#This Row],[Progression]]/$H$2,0)</f>
        <v>50</v>
      </c>
      <c r="I29">
        <f t="shared" si="0"/>
        <v>50</v>
      </c>
    </row>
    <row r="30" spans="1:9" x14ac:dyDescent="0.35">
      <c r="A30" s="4"/>
      <c r="B30" t="s">
        <v>58</v>
      </c>
      <c r="C30" t="s">
        <v>48</v>
      </c>
      <c r="D30">
        <v>3</v>
      </c>
      <c r="E30">
        <v>2</v>
      </c>
      <c r="F30">
        <f>ROUND(60-Tableau1[[#This Row],[Progression]]/$F$2,0)</f>
        <v>34</v>
      </c>
      <c r="G30">
        <f>ROUND(AVERAGE(Tableau1[[#This Row],[Star 1]],Tableau1[[#This Row],[Star 3]]),0)</f>
        <v>41</v>
      </c>
      <c r="H30">
        <f>ROUND(100-Tableau1[[#This Row],[Progression]]/$H$2,0)</f>
        <v>48</v>
      </c>
      <c r="I30">
        <f t="shared" si="0"/>
        <v>52</v>
      </c>
    </row>
    <row r="31" spans="1:9" x14ac:dyDescent="0.35">
      <c r="A31" s="4"/>
      <c r="B31" t="s">
        <v>62</v>
      </c>
      <c r="C31" t="s">
        <v>66</v>
      </c>
      <c r="D31">
        <v>6</v>
      </c>
      <c r="E31">
        <v>3</v>
      </c>
      <c r="F31">
        <f>ROUND(60-Tableau1[[#This Row],[Progression]]/$F$2,0)</f>
        <v>33</v>
      </c>
      <c r="G31">
        <f>ROUND(AVERAGE(Tableau1[[#This Row],[Star 1]],Tableau1[[#This Row],[Star 3]]),0)</f>
        <v>40</v>
      </c>
      <c r="H31">
        <f>ROUND(100-Tableau1[[#This Row],[Progression]]/$H$2,0)</f>
        <v>46</v>
      </c>
      <c r="I31">
        <f t="shared" si="0"/>
        <v>54</v>
      </c>
    </row>
    <row r="32" spans="1:9" x14ac:dyDescent="0.35">
      <c r="A32" s="4"/>
      <c r="B32" t="s">
        <v>61</v>
      </c>
      <c r="C32" t="s">
        <v>65</v>
      </c>
      <c r="D32">
        <v>4</v>
      </c>
      <c r="E32">
        <v>2</v>
      </c>
      <c r="F32">
        <f>ROUND(60-Tableau1[[#This Row],[Progression]]/$F$2,0)</f>
        <v>32</v>
      </c>
      <c r="G32">
        <f>ROUND(AVERAGE(Tableau1[[#This Row],[Star 1]],Tableau1[[#This Row],[Star 3]]),0)</f>
        <v>38</v>
      </c>
      <c r="H32">
        <f>ROUND(100-Tableau1[[#This Row],[Progression]]/$H$2,0)</f>
        <v>44</v>
      </c>
      <c r="I32">
        <f t="shared" si="0"/>
        <v>56</v>
      </c>
    </row>
    <row r="33" spans="1:9" x14ac:dyDescent="0.35">
      <c r="A33" s="4"/>
      <c r="B33" t="s">
        <v>63</v>
      </c>
      <c r="C33" t="s">
        <v>67</v>
      </c>
      <c r="D33">
        <v>5</v>
      </c>
      <c r="E33">
        <v>2</v>
      </c>
      <c r="F33">
        <f>ROUND(60-Tableau1[[#This Row],[Progression]]/$F$2,0)</f>
        <v>30</v>
      </c>
      <c r="G33">
        <f>ROUND(AVERAGE(Tableau1[[#This Row],[Star 1]],Tableau1[[#This Row],[Star 3]]),0)</f>
        <v>35</v>
      </c>
      <c r="H33">
        <f>ROUND(100-Tableau1[[#This Row],[Progression]]/$H$2,0)</f>
        <v>40</v>
      </c>
      <c r="I33">
        <f t="shared" si="0"/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Delbarre</dc:creator>
  <cp:lastModifiedBy>Emmanuel Delbarre</cp:lastModifiedBy>
  <dcterms:created xsi:type="dcterms:W3CDTF">2025-04-26T13:50:13Z</dcterms:created>
  <dcterms:modified xsi:type="dcterms:W3CDTF">2025-07-05T14:54:03Z</dcterms:modified>
</cp:coreProperties>
</file>